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<sst xmlns="http://schemas.openxmlformats.org/spreadsheetml/2006/main" count="12" uniqueCount="6">
  <si>
    <t>NP_000577.2</t>
  </si>
  <si>
    <t>NP_032392.1</t>
  </si>
  <si>
    <t>NP_446288.1</t>
  </si>
  <si>
    <t>XP_002745478.1</t>
  </si>
  <si>
    <t>XP_517425.1</t>
  </si>
  <si>
    <t>NP_001040595.1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</si>
</sst>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88"/>
    <col customWidth="1" min="5" max="5" width="16.5"/>
    <col customWidth="1" min="6" max="6" width="14.75"/>
    <col customWidth="1" min="7" max="7" width="16.7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0</v>
      </c>
      <c r="B2" s="4">
        <v>1.0</v>
      </c>
      <c r="C2" s="5">
        <f>1-0.3725490196</f>
        <v>0.6274509804</v>
      </c>
      <c r="D2" s="4">
        <f>1-0.3333333333</f>
        <v>0.6666666667</v>
      </c>
      <c r="E2" s="5">
        <f>1-0.0718954248</f>
        <v>0.9281045752</v>
      </c>
      <c r="F2" s="4">
        <v>1.0</v>
      </c>
      <c r="G2" s="5">
        <f>1-0.0196078431</f>
        <v>0.9803921569</v>
      </c>
    </row>
    <row r="3">
      <c r="A3" s="3" t="s">
        <v>1</v>
      </c>
      <c r="B3" s="5">
        <f>1-0.3725490196</f>
        <v>0.6274509804</v>
      </c>
      <c r="C3" s="4">
        <v>1.0</v>
      </c>
      <c r="D3" s="5">
        <f>1-0.1806451613</f>
        <v>0.8193548387</v>
      </c>
      <c r="E3" s="5">
        <f>1-0.3831168831</f>
        <v>0.6168831169</v>
      </c>
      <c r="F3" s="5">
        <f>1-0.3725490196</f>
        <v>0.6274509804</v>
      </c>
      <c r="G3" s="5">
        <f>1-0.3766233766</f>
        <v>0.6233766234</v>
      </c>
    </row>
    <row r="4">
      <c r="A4" s="3" t="s">
        <v>2</v>
      </c>
      <c r="B4" s="4">
        <f>1-0.3333333333</f>
        <v>0.6666666667</v>
      </c>
      <c r="C4" s="5">
        <f>1-0.1806451613</f>
        <v>0.8193548387</v>
      </c>
      <c r="D4" s="4">
        <v>1.0</v>
      </c>
      <c r="E4" s="5">
        <f>1-0.3441558442</f>
        <v>0.6558441558</v>
      </c>
      <c r="F4" s="4">
        <f>1-0.3333333333</f>
        <v>0.6666666667</v>
      </c>
      <c r="G4" s="5">
        <f>1-0.3376623377</f>
        <v>0.6623376623</v>
      </c>
    </row>
    <row r="5">
      <c r="A5" s="3" t="s">
        <v>3</v>
      </c>
      <c r="B5" s="5">
        <f>1-0.0718954248</f>
        <v>0.9281045752</v>
      </c>
      <c r="C5" s="5">
        <f>1-0.3831168831</f>
        <v>0.6168831169</v>
      </c>
      <c r="D5" s="5">
        <f>1-0.3441558442</f>
        <v>0.6558441558</v>
      </c>
      <c r="E5" s="4">
        <v>1.0</v>
      </c>
      <c r="F5" s="5">
        <f>1-0.0718954248</f>
        <v>0.9281045752</v>
      </c>
      <c r="G5" s="5">
        <f>1-0.0779220779</f>
        <v>0.9220779221</v>
      </c>
    </row>
    <row r="6">
      <c r="A6" s="3" t="s">
        <v>4</v>
      </c>
      <c r="B6" s="4">
        <v>1.0</v>
      </c>
      <c r="C6" s="5">
        <f>1-0.3725490196</f>
        <v>0.6274509804</v>
      </c>
      <c r="D6" s="4">
        <f>1-0.3333333333</f>
        <v>0.6666666667</v>
      </c>
      <c r="E6" s="5">
        <f>1-0.0718954248</f>
        <v>0.9281045752</v>
      </c>
      <c r="F6" s="4">
        <v>1.0</v>
      </c>
      <c r="G6" s="5">
        <f>1-0.0196078431</f>
        <v>0.9803921569</v>
      </c>
    </row>
    <row r="7">
      <c r="A7" s="3" t="s">
        <v>5</v>
      </c>
      <c r="B7" s="5">
        <f>1-0.0196078431</f>
        <v>0.9803921569</v>
      </c>
      <c r="C7" s="5">
        <f>1-0.3766233766</f>
        <v>0.6233766234</v>
      </c>
      <c r="D7" s="5">
        <f>1-0.3376623377</f>
        <v>0.6623376623</v>
      </c>
      <c r="E7" s="5">
        <f>1-0.0779220779</f>
        <v>0.9220779221</v>
      </c>
      <c r="F7" s="5">
        <f>1-0.0196078431</f>
        <v>0.9803921569</v>
      </c>
      <c r="G7" s="4">
        <v>1.0</v>
      </c>
    </row>
  </sheetData>
  <drawing r:id="rId1"/>
</worksheet>
</file>