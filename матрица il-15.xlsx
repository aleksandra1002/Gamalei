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<sst xmlns="http://schemas.openxmlformats.org/spreadsheetml/2006/main" count="12" uniqueCount="6">
  <si>
    <t>NP_000576.1</t>
  </si>
  <si>
    <t>XP_029336337.1</t>
  </si>
  <si>
    <t>XP_038953441.1</t>
  </si>
  <si>
    <t>XP_078223971.1</t>
  </si>
  <si>
    <t>XP_001140688.1</t>
  </si>
  <si>
    <t>XP_014994715.1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</si>
</sst>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4.25"/>
    <col customWidth="1" min="3" max="3" width="18.75"/>
    <col customWidth="1" min="4" max="4" width="16.38"/>
    <col customWidth="1" min="5" max="5" width="17.5"/>
    <col customWidth="1" min="6" max="6" width="15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2">
        <v>1.0</v>
      </c>
      <c r="C2" s="3">
        <f>1-0.2716 </f>
        <v>0.7284</v>
      </c>
      <c r="D2" s="3">
        <f>1-0.27778</f>
        <v>0.72222</v>
      </c>
      <c r="E2" s="3">
        <f>1-0.20741</f>
        <v>0.79259</v>
      </c>
      <c r="F2" s="2">
        <v>1.0</v>
      </c>
      <c r="G2" s="3">
        <f>1-0.03704</f>
        <v>0.96296</v>
      </c>
    </row>
    <row r="3">
      <c r="A3" s="1" t="s">
        <v>1</v>
      </c>
      <c r="B3" s="3">
        <f>1-0.2716 </f>
        <v>0.7284</v>
      </c>
      <c r="C3" s="2">
        <v>1.0</v>
      </c>
      <c r="D3" s="3">
        <f>1-0.04321</f>
        <v>0.95679</v>
      </c>
      <c r="E3" s="3">
        <f t="shared" ref="E3:E4" si="2">1-0.35556 </f>
        <v>0.64444</v>
      </c>
      <c r="F3" s="3">
        <f t="shared" ref="F3:G3" si="1">1-0.2716 </f>
        <v>0.7284</v>
      </c>
      <c r="G3" s="3">
        <f t="shared" si="1"/>
        <v>0.7284</v>
      </c>
    </row>
    <row r="4">
      <c r="A4" s="1" t="s">
        <v>2</v>
      </c>
      <c r="B4" s="3">
        <f>1-0.27778</f>
        <v>0.72222</v>
      </c>
      <c r="C4" s="3">
        <f>1-0.04321</f>
        <v>0.95679</v>
      </c>
      <c r="D4" s="2">
        <v>1.0</v>
      </c>
      <c r="E4" s="3">
        <f t="shared" si="2"/>
        <v>0.64444</v>
      </c>
      <c r="F4" s="3">
        <f t="shared" ref="F4:G4" si="3">1-0.27778</f>
        <v>0.72222</v>
      </c>
      <c r="G4" s="3">
        <f t="shared" si="3"/>
        <v>0.72222</v>
      </c>
    </row>
    <row r="5">
      <c r="A5" s="1" t="s">
        <v>3</v>
      </c>
      <c r="B5" s="3">
        <f>1-0.20741</f>
        <v>0.79259</v>
      </c>
      <c r="C5" s="3">
        <f t="shared" ref="C5:D5" si="4">1-0.35556 </f>
        <v>0.64444</v>
      </c>
      <c r="D5" s="3">
        <f t="shared" si="4"/>
        <v>0.64444</v>
      </c>
      <c r="E5" s="2">
        <v>1.0</v>
      </c>
      <c r="F5" s="3">
        <f t="shared" ref="F5:G5" si="5">1-0.20741</f>
        <v>0.79259</v>
      </c>
      <c r="G5" s="3">
        <f t="shared" si="5"/>
        <v>0.79259</v>
      </c>
    </row>
    <row r="6">
      <c r="A6" s="1" t="s">
        <v>4</v>
      </c>
      <c r="B6" s="2">
        <v>1.0</v>
      </c>
      <c r="C6" s="3">
        <f t="shared" ref="C6:C7" si="6">1-0.2716 </f>
        <v>0.7284</v>
      </c>
      <c r="D6" s="3">
        <f t="shared" ref="D6:D7" si="7">1-0.27778</f>
        <v>0.72222</v>
      </c>
      <c r="E6" s="3">
        <f t="shared" ref="E6:E7" si="8">1-0.20741</f>
        <v>0.79259</v>
      </c>
      <c r="F6" s="2">
        <v>1.0</v>
      </c>
      <c r="G6" s="3">
        <f>1-0.03704</f>
        <v>0.96296</v>
      </c>
    </row>
    <row r="7">
      <c r="A7" s="1" t="s">
        <v>5</v>
      </c>
      <c r="B7" s="3">
        <f>1-0.03704</f>
        <v>0.96296</v>
      </c>
      <c r="C7" s="3">
        <f t="shared" si="6"/>
        <v>0.7284</v>
      </c>
      <c r="D7" s="3">
        <f t="shared" si="7"/>
        <v>0.72222</v>
      </c>
      <c r="E7" s="3">
        <f t="shared" si="8"/>
        <v>0.79259</v>
      </c>
      <c r="F7" s="3">
        <f>1-0.03704</f>
        <v>0.96296</v>
      </c>
      <c r="G7" s="2">
        <v>1.0</v>
      </c>
    </row>
  </sheetData>
  <drawing r:id="rId1"/>
</worksheet>
</file>