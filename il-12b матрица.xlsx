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<sst xmlns="http://schemas.openxmlformats.org/spreadsheetml/2006/main" count="12" uniqueCount="6">
  <si>
    <t>NP_002178.2</t>
  </si>
  <si>
    <t>NP_001290173.1</t>
  </si>
  <si>
    <t>NP_072133.2</t>
  </si>
  <si>
    <t>XP_035133514.3</t>
  </si>
  <si>
    <t>XP_527101.2</t>
  </si>
  <si>
    <t>NP_001038190.1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</si>
</sst>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25"/>
    <col customWidth="1" min="3" max="3" width="14.5"/>
    <col customWidth="1" min="4" max="4" width="14.75"/>
    <col customWidth="1" min="5" max="5" width="15.0"/>
    <col customWidth="1" min="6" max="6" width="15.13"/>
    <col customWidth="1" min="7" max="7" width="14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2">
        <v>1.0</v>
      </c>
      <c r="C2" s="3">
        <f t="shared" ref="C2:D2" si="1">1-0.3065</f>
        <v>0.6935</v>
      </c>
      <c r="D2" s="3">
        <f t="shared" si="1"/>
        <v>0.6935</v>
      </c>
      <c r="E2" s="3">
        <f>1-0.07622</f>
        <v>0.92378</v>
      </c>
      <c r="F2" s="3">
        <f>1-0.0061</f>
        <v>0.9939</v>
      </c>
      <c r="G2" s="3">
        <f>1-0.03659</f>
        <v>0.96341</v>
      </c>
    </row>
    <row r="3">
      <c r="A3" s="1" t="s">
        <v>1</v>
      </c>
      <c r="B3" s="3">
        <f t="shared" ref="B3:B4" si="2">1-0.3065</f>
        <v>0.6935</v>
      </c>
      <c r="C3" s="2">
        <v>1.0</v>
      </c>
      <c r="D3" s="3">
        <f>1-0.07761 </f>
        <v>0.92239</v>
      </c>
      <c r="E3" s="3">
        <f>1-0.32817 </f>
        <v>0.67183</v>
      </c>
      <c r="F3" s="3">
        <f t="shared" ref="F3:F4" si="3">1-0.3065</f>
        <v>0.6935</v>
      </c>
      <c r="G3" s="3">
        <f t="shared" ref="G3:G4" si="4">1-0.31269</f>
        <v>0.68731</v>
      </c>
    </row>
    <row r="4">
      <c r="A4" s="1" t="s">
        <v>2</v>
      </c>
      <c r="B4" s="3">
        <f t="shared" si="2"/>
        <v>0.6935</v>
      </c>
      <c r="C4" s="3">
        <f>1-0.07761 </f>
        <v>0.92239</v>
      </c>
      <c r="D4" s="2">
        <v>1.0</v>
      </c>
      <c r="E4" s="3">
        <f>1-0.33127</f>
        <v>0.66873</v>
      </c>
      <c r="F4" s="3">
        <f t="shared" si="3"/>
        <v>0.6935</v>
      </c>
      <c r="G4" s="3">
        <f t="shared" si="4"/>
        <v>0.68731</v>
      </c>
    </row>
    <row r="5">
      <c r="A5" s="1" t="s">
        <v>3</v>
      </c>
      <c r="B5" s="3">
        <f>1-0.07622</f>
        <v>0.92378</v>
      </c>
      <c r="C5" s="3">
        <f>1-0.32817 </f>
        <v>0.67183</v>
      </c>
      <c r="D5" s="3">
        <f>1-0.33127</f>
        <v>0.66873</v>
      </c>
      <c r="E5" s="2">
        <v>1.0</v>
      </c>
      <c r="F5" s="3">
        <f>1-0.08232 </f>
        <v>0.91768</v>
      </c>
      <c r="G5" s="3">
        <f>1-0.08841 </f>
        <v>0.91159</v>
      </c>
    </row>
    <row r="6">
      <c r="A6" s="1" t="s">
        <v>4</v>
      </c>
      <c r="B6" s="3">
        <f>1-0.0061</f>
        <v>0.9939</v>
      </c>
      <c r="C6" s="3">
        <f t="shared" ref="C6:D6" si="5">1-0.3065</f>
        <v>0.6935</v>
      </c>
      <c r="D6" s="3">
        <f t="shared" si="5"/>
        <v>0.6935</v>
      </c>
      <c r="E6" s="3">
        <f>1-0.08232 </f>
        <v>0.91768</v>
      </c>
      <c r="F6" s="2">
        <v>1.0</v>
      </c>
      <c r="G6" s="3">
        <f>1-0.04268 </f>
        <v>0.95732</v>
      </c>
    </row>
    <row r="7">
      <c r="A7" s="1" t="s">
        <v>5</v>
      </c>
      <c r="B7" s="3">
        <f>1-0.03659</f>
        <v>0.96341</v>
      </c>
      <c r="C7" s="3">
        <f t="shared" ref="C7:D7" si="6">1-0.31269</f>
        <v>0.68731</v>
      </c>
      <c r="D7" s="3">
        <f t="shared" si="6"/>
        <v>0.68731</v>
      </c>
      <c r="E7" s="3">
        <f>1-0.08841 </f>
        <v>0.91159</v>
      </c>
      <c r="F7" s="3">
        <f>1-0.04268 </f>
        <v>0.95732</v>
      </c>
      <c r="G7" s="2">
        <v>1.0</v>
      </c>
    </row>
  </sheetData>
  <drawing r:id="rId1"/>
</worksheet>
</file>