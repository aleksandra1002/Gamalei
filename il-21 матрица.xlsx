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<sst xmlns="http://schemas.openxmlformats.org/spreadsheetml/2006/main" count="12" uniqueCount="6">
  <si>
    <t>NP_068575.1</t>
  </si>
  <si>
    <t>NP_068554.1</t>
  </si>
  <si>
    <t>NP_001102413.1</t>
  </si>
  <si>
    <t>XP_002745477.1</t>
  </si>
  <si>
    <t>XP_003816452.1</t>
  </si>
  <si>
    <t>NP_001181171.1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</si>
</sst>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4.75"/>
    <col customWidth="1" min="3" max="3" width="14.5"/>
    <col customWidth="1" min="4" max="4" width="16.0"/>
    <col customWidth="1" min="5" max="5" width="15.88"/>
    <col customWidth="1" min="6" max="6" width="15.75"/>
    <col customWidth="1" min="7" max="7" width="16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0</v>
      </c>
      <c r="B2" s="2">
        <v>1.0</v>
      </c>
      <c r="C2" s="3">
        <f>1-0.36986 </f>
        <v>0.63014</v>
      </c>
      <c r="D2" s="3">
        <f>1-0.39041</f>
        <v>0.60959</v>
      </c>
      <c r="E2" s="3">
        <f>1-0.03704</f>
        <v>0.96296</v>
      </c>
      <c r="F2" s="2">
        <v>1.0</v>
      </c>
      <c r="G2" s="3">
        <f>1-0.03704</f>
        <v>0.96296</v>
      </c>
    </row>
    <row r="3">
      <c r="A3" s="1" t="s">
        <v>1</v>
      </c>
      <c r="B3" s="3">
        <f>1-0.36986 </f>
        <v>0.63014</v>
      </c>
      <c r="C3" s="2">
        <v>1.0</v>
      </c>
      <c r="D3" s="3">
        <f>1-0.12329</f>
        <v>0.87671</v>
      </c>
      <c r="E3" s="3">
        <f>1-0.38356</f>
        <v>0.61644</v>
      </c>
      <c r="F3" s="3">
        <f>1-0.36986 </f>
        <v>0.63014</v>
      </c>
      <c r="G3" s="3">
        <f>1-0.37671</f>
        <v>0.62329</v>
      </c>
    </row>
    <row r="4">
      <c r="A4" s="1" t="s">
        <v>2</v>
      </c>
      <c r="B4" s="3">
        <f>1-0.39041</f>
        <v>0.60959</v>
      </c>
      <c r="C4" s="3">
        <f>1-0.12329</f>
        <v>0.87671</v>
      </c>
      <c r="D4" s="2">
        <v>1.0</v>
      </c>
      <c r="E4" s="3">
        <f>1-0.40411</f>
        <v>0.59589</v>
      </c>
      <c r="F4" s="3">
        <f>1-0.39041</f>
        <v>0.60959</v>
      </c>
      <c r="G4" s="3">
        <f>1-0.39726</f>
        <v>0.60274</v>
      </c>
    </row>
    <row r="5">
      <c r="A5" s="1" t="s">
        <v>3</v>
      </c>
      <c r="B5" s="3">
        <f>1-0.03704</f>
        <v>0.96296</v>
      </c>
      <c r="C5" s="3">
        <f>1-0.38356</f>
        <v>0.61644</v>
      </c>
      <c r="D5" s="3">
        <f>1-0.40411</f>
        <v>0.59589</v>
      </c>
      <c r="E5" s="2">
        <v>1.0</v>
      </c>
      <c r="F5" s="3">
        <f>1-0.03704</f>
        <v>0.96296</v>
      </c>
      <c r="G5" s="3">
        <f>1-0.04321</f>
        <v>0.95679</v>
      </c>
    </row>
    <row r="6">
      <c r="A6" s="1" t="s">
        <v>4</v>
      </c>
      <c r="B6" s="2">
        <v>1.0</v>
      </c>
      <c r="C6" s="3">
        <f>1-0.36986 </f>
        <v>0.63014</v>
      </c>
      <c r="D6" s="3">
        <f>1-0.39041</f>
        <v>0.60959</v>
      </c>
      <c r="E6" s="3">
        <f>1-0.03704</f>
        <v>0.96296</v>
      </c>
      <c r="F6" s="2">
        <v>1.0</v>
      </c>
      <c r="G6" s="3">
        <f>1-0.03704</f>
        <v>0.96296</v>
      </c>
    </row>
    <row r="7">
      <c r="A7" s="1" t="s">
        <v>5</v>
      </c>
      <c r="B7" s="3">
        <f>1-0.03704</f>
        <v>0.96296</v>
      </c>
      <c r="C7" s="3">
        <f>1-0.37671</f>
        <v>0.62329</v>
      </c>
      <c r="D7" s="3">
        <f>1-0.39726</f>
        <v>0.60274</v>
      </c>
      <c r="E7" s="3">
        <f>1-0.04321</f>
        <v>0.95679</v>
      </c>
      <c r="F7" s="3">
        <f>1-0.03704</f>
        <v>0.96296</v>
      </c>
      <c r="G7" s="2">
        <v>1.0</v>
      </c>
    </row>
  </sheetData>
  <drawing r:id="rId1"/>
</worksheet>
</file>