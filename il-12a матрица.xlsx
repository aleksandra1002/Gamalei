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<sst xmlns="http://schemas.openxmlformats.org/spreadsheetml/2006/main" count="12" uniqueCount="6">
  <si>
    <t>NP_000873.2</t>
  </si>
  <si>
    <t>NP_032377.1</t>
  </si>
  <si>
    <t>XP_032754161.1</t>
  </si>
  <si>
    <t>XP_035133779.1</t>
  </si>
  <si>
    <t>XP_016797732.1</t>
  </si>
  <si>
    <t>NP_001038199.1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</si>
</sst>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75"/>
    <col customWidth="1" min="3" max="3" width="15.5"/>
    <col customWidth="1" min="4" max="4" width="18.38"/>
    <col customWidth="1" min="5" max="5" width="17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>
        <v>1.0</v>
      </c>
      <c r="C2" s="4">
        <f t="shared" ref="C2:D2" si="1">1-0.4</f>
        <v>0.6</v>
      </c>
      <c r="D2" s="4">
        <f t="shared" si="1"/>
        <v>0.6</v>
      </c>
      <c r="E2" s="4">
        <f>1-0.05479</f>
        <v>0.94521</v>
      </c>
      <c r="F2" s="4">
        <f>1-0.00395</f>
        <v>0.99605</v>
      </c>
      <c r="G2" s="4">
        <f>1-0.06719</f>
        <v>0.93281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1</v>
      </c>
      <c r="B3" s="4">
        <f t="shared" ref="B3:B4" si="2">1-0.4</f>
        <v>0.6</v>
      </c>
      <c r="C3" s="3">
        <v>1.0</v>
      </c>
      <c r="D3" s="4">
        <f>1-0.13023</f>
        <v>0.86977</v>
      </c>
      <c r="E3" s="4">
        <f>1-0.40465</f>
        <v>0.59535</v>
      </c>
      <c r="F3" s="3">
        <v>0.6</v>
      </c>
      <c r="G3" s="4">
        <f t="shared" ref="G3:G4" si="3">1-0.41395</f>
        <v>0.58605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2</v>
      </c>
      <c r="B4" s="4">
        <f t="shared" si="2"/>
        <v>0.6</v>
      </c>
      <c r="C4" s="4">
        <f>1-0.13023</f>
        <v>0.86977</v>
      </c>
      <c r="D4" s="3">
        <v>1.0</v>
      </c>
      <c r="E4" s="4">
        <f>1-0.41395</f>
        <v>0.58605</v>
      </c>
      <c r="F4" s="3">
        <v>0.6</v>
      </c>
      <c r="G4" s="4">
        <f t="shared" si="3"/>
        <v>0.58605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3</v>
      </c>
      <c r="B5" s="4">
        <f>1-0.05479</f>
        <v>0.94521</v>
      </c>
      <c r="C5" s="4">
        <f>1-0.40465</f>
        <v>0.59535</v>
      </c>
      <c r="D5" s="4">
        <f>1-0.41395</f>
        <v>0.58605</v>
      </c>
      <c r="E5" s="3">
        <v>1.0</v>
      </c>
      <c r="F5" s="4">
        <f>1-0.05936</f>
        <v>0.94064</v>
      </c>
      <c r="G5" s="4">
        <f>1-0.10959</f>
        <v>0.89041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4</v>
      </c>
      <c r="B6" s="4">
        <f>1-0.00395</f>
        <v>0.99605</v>
      </c>
      <c r="C6" s="4">
        <f t="shared" ref="C6:D6" si="4">1-0.4</f>
        <v>0.6</v>
      </c>
      <c r="D6" s="4">
        <f t="shared" si="4"/>
        <v>0.6</v>
      </c>
      <c r="E6" s="4">
        <f>1-0.05936</f>
        <v>0.94064</v>
      </c>
      <c r="F6" s="3">
        <v>1.0</v>
      </c>
      <c r="G6" s="4">
        <f>1-0.07115 </f>
        <v>0.92885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5</v>
      </c>
      <c r="B7" s="4">
        <f>1-0.06719</f>
        <v>0.93281</v>
      </c>
      <c r="C7" s="4">
        <f t="shared" ref="C7:D7" si="5">1-0.41395</f>
        <v>0.58605</v>
      </c>
      <c r="D7" s="4">
        <f t="shared" si="5"/>
        <v>0.58605</v>
      </c>
      <c r="E7" s="4">
        <f>1-0.10959</f>
        <v>0.89041</v>
      </c>
      <c r="F7" s="4">
        <f>1-0.07115 </f>
        <v>0.92885</v>
      </c>
      <c r="G7" s="3">
        <v>1.0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